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TLAB\m2. RSV modelling nature comm R1\0. data\Nakajo_review_paper\"/>
    </mc:Choice>
  </mc:AlternateContent>
  <xr:revisionPtr revIDLastSave="0" documentId="13_ncr:1_{8593C8E9-DCB5-44C4-8367-B43D55CD031C}" xr6:coauthVersionLast="47" xr6:coauthVersionMax="47" xr10:uidLastSave="{00000000-0000-0000-0000-000000000000}"/>
  <bookViews>
    <workbookView xWindow="-93" yWindow="-93" windowWidth="25786" windowHeight="13866" xr2:uid="{BBD16AC5-55C3-4005-8F58-ED4FF99F8F1F}"/>
  </bookViews>
  <sheets>
    <sheet name="Data_seroprevalence" sheetId="1" r:id="rId1"/>
  </sheets>
  <definedNames>
    <definedName name="_xlnm._FilterDatabase" localSheetId="0" hidden="1">Data_seroprevalence!$A$1:$J$102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F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</calcChain>
</file>

<file path=xl/sharedStrings.xml><?xml version="1.0" encoding="utf-8"?>
<sst xmlns="http://schemas.openxmlformats.org/spreadsheetml/2006/main" count="277" uniqueCount="26">
  <si>
    <t>PMID</t>
  </si>
  <si>
    <t>Assay</t>
  </si>
  <si>
    <t>Antigen</t>
  </si>
  <si>
    <t>Assay_cutpoint</t>
  </si>
  <si>
    <t>ageStart</t>
  </si>
  <si>
    <t>ageEnd</t>
  </si>
  <si>
    <t>ageMid</t>
  </si>
  <si>
    <t>N</t>
  </si>
  <si>
    <t>N_positive</t>
  </si>
  <si>
    <t>ELISA IgG</t>
  </si>
  <si>
    <t xml:space="preserve">ELISA IgG </t>
  </si>
  <si>
    <t>F</t>
  </si>
  <si>
    <t>Neutralization</t>
  </si>
  <si>
    <t>Whole virus</t>
  </si>
  <si>
    <t>CF</t>
  </si>
  <si>
    <t>perc_positive</t>
  </si>
  <si>
    <t>study_country</t>
  </si>
  <si>
    <t>study_year</t>
  </si>
  <si>
    <t>2007-2010</t>
  </si>
  <si>
    <t>2016-2018</t>
  </si>
  <si>
    <t>Kilifi, Kenya</t>
  </si>
  <si>
    <t>West India</t>
  </si>
  <si>
    <t>Chongqing, China</t>
  </si>
  <si>
    <t>Germany</t>
  </si>
  <si>
    <t>Beijing, China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</si>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</sst>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0B72-69D0-4602-939C-6D0F55F39172}">
  <dimension ref="A1:L102"/>
  <sheetViews>
    <sheetView tabSelected="1" workbookViewId="0">
      <pane ySplit="1" topLeftCell="A38" activePane="bottomLeft" state="frozen"/>
      <selection pane="bottomLeft" activeCell="F54" sqref="F54"/>
    </sheetView>
  </sheetViews>
  <sheetFormatPr defaultRowHeight="13" x14ac:dyDescent="0.3"/>
  <cols>
    <col min="12" max="12" width="9.761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17</v>
      </c>
    </row>
    <row r="2" spans="1:12" x14ac:dyDescent="0.3">
      <c r="A2">
        <v>28531224</v>
      </c>
      <c r="B2" t="s">
        <v>9</v>
      </c>
      <c r="E2">
        <v>0</v>
      </c>
      <c r="F2">
        <v>8.3333333333333301E-2</v>
      </c>
      <c r="G2">
        <v>4.1666666666666699E-2</v>
      </c>
      <c r="H2">
        <v>48</v>
      </c>
      <c r="I2">
        <v>48</v>
      </c>
      <c r="J2">
        <f t="shared" ref="J2:J33" si="0">I2/H2</f>
        <v>1</v>
      </c>
      <c r="K2" t="s">
        <v>20</v>
      </c>
      <c r="L2" t="s">
        <v>18</v>
      </c>
    </row>
    <row r="3" spans="1:12" x14ac:dyDescent="0.3">
      <c r="A3">
        <v>28531224</v>
      </c>
      <c r="B3" t="s">
        <v>9</v>
      </c>
      <c r="E3">
        <v>8.3333333333333301E-2</v>
      </c>
      <c r="F3">
        <v>0.16666666666666699</v>
      </c>
      <c r="G3">
        <v>0.125</v>
      </c>
      <c r="H3">
        <v>48</v>
      </c>
      <c r="I3">
        <v>44</v>
      </c>
      <c r="J3">
        <f t="shared" si="0"/>
        <v>0.91666666666666663</v>
      </c>
      <c r="K3" t="s">
        <v>20</v>
      </c>
      <c r="L3" t="s">
        <v>18</v>
      </c>
    </row>
    <row r="4" spans="1:12" x14ac:dyDescent="0.3">
      <c r="A4">
        <v>28531224</v>
      </c>
      <c r="B4" t="s">
        <v>9</v>
      </c>
      <c r="E4">
        <v>0.16666666666666699</v>
      </c>
      <c r="F4">
        <v>0.25</v>
      </c>
      <c r="G4">
        <v>0.20833333333333301</v>
      </c>
      <c r="H4">
        <v>48</v>
      </c>
      <c r="I4">
        <v>36</v>
      </c>
      <c r="J4">
        <f t="shared" si="0"/>
        <v>0.75</v>
      </c>
      <c r="K4" t="s">
        <v>20</v>
      </c>
      <c r="L4" t="s">
        <v>18</v>
      </c>
    </row>
    <row r="5" spans="1:12" x14ac:dyDescent="0.3">
      <c r="A5">
        <v>28531224</v>
      </c>
      <c r="B5" t="s">
        <v>9</v>
      </c>
      <c r="E5">
        <v>0.25</v>
      </c>
      <c r="F5">
        <v>0.33333333333333298</v>
      </c>
      <c r="G5">
        <v>0.29166666666666702</v>
      </c>
      <c r="H5">
        <v>48</v>
      </c>
      <c r="I5">
        <v>31</v>
      </c>
      <c r="J5">
        <f t="shared" si="0"/>
        <v>0.64583333333333337</v>
      </c>
      <c r="K5" t="s">
        <v>20</v>
      </c>
      <c r="L5" t="s">
        <v>18</v>
      </c>
    </row>
    <row r="6" spans="1:12" x14ac:dyDescent="0.3">
      <c r="A6">
        <v>28531224</v>
      </c>
      <c r="B6" t="s">
        <v>9</v>
      </c>
      <c r="E6">
        <v>0.33333333333333298</v>
      </c>
      <c r="F6">
        <v>0.41666666666666702</v>
      </c>
      <c r="G6">
        <v>0.375</v>
      </c>
      <c r="H6">
        <v>48</v>
      </c>
      <c r="I6">
        <v>22</v>
      </c>
      <c r="J6">
        <f t="shared" si="0"/>
        <v>0.45833333333333331</v>
      </c>
      <c r="K6" t="s">
        <v>20</v>
      </c>
      <c r="L6" t="s">
        <v>18</v>
      </c>
    </row>
    <row r="7" spans="1:12" x14ac:dyDescent="0.3">
      <c r="A7">
        <v>28531224</v>
      </c>
      <c r="B7" t="s">
        <v>9</v>
      </c>
      <c r="E7">
        <v>0.41666666666666702</v>
      </c>
      <c r="F7">
        <v>0.5</v>
      </c>
      <c r="G7">
        <v>0.45833333333333298</v>
      </c>
      <c r="H7">
        <v>48</v>
      </c>
      <c r="I7">
        <v>13</v>
      </c>
      <c r="J7">
        <f t="shared" si="0"/>
        <v>0.27083333333333331</v>
      </c>
      <c r="K7" t="s">
        <v>20</v>
      </c>
      <c r="L7" t="s">
        <v>18</v>
      </c>
    </row>
    <row r="8" spans="1:12" x14ac:dyDescent="0.3">
      <c r="A8">
        <v>28531224</v>
      </c>
      <c r="B8" t="s">
        <v>9</v>
      </c>
      <c r="E8">
        <v>0.5</v>
      </c>
      <c r="F8">
        <v>0.58333333333333304</v>
      </c>
      <c r="G8">
        <v>0.54166666666666696</v>
      </c>
      <c r="H8">
        <v>48</v>
      </c>
      <c r="I8">
        <v>12</v>
      </c>
      <c r="J8">
        <f t="shared" si="0"/>
        <v>0.25</v>
      </c>
      <c r="K8" t="s">
        <v>20</v>
      </c>
      <c r="L8" t="s">
        <v>18</v>
      </c>
    </row>
    <row r="9" spans="1:12" x14ac:dyDescent="0.3">
      <c r="A9">
        <v>28531224</v>
      </c>
      <c r="B9" t="s">
        <v>9</v>
      </c>
      <c r="E9">
        <v>0.58333333333333304</v>
      </c>
      <c r="F9">
        <v>0.66666666666666696</v>
      </c>
      <c r="G9">
        <v>0.625</v>
      </c>
      <c r="H9">
        <v>48</v>
      </c>
      <c r="I9">
        <v>19</v>
      </c>
      <c r="J9">
        <f t="shared" si="0"/>
        <v>0.39583333333333331</v>
      </c>
      <c r="K9" t="s">
        <v>20</v>
      </c>
      <c r="L9" t="s">
        <v>18</v>
      </c>
    </row>
    <row r="10" spans="1:12" x14ac:dyDescent="0.3">
      <c r="A10">
        <v>28531224</v>
      </c>
      <c r="B10" t="s">
        <v>9</v>
      </c>
      <c r="E10">
        <v>0.66666666666666696</v>
      </c>
      <c r="F10">
        <v>0.75</v>
      </c>
      <c r="G10">
        <v>0.70833333333333304</v>
      </c>
      <c r="H10">
        <v>48</v>
      </c>
      <c r="I10">
        <v>17</v>
      </c>
      <c r="J10">
        <f t="shared" si="0"/>
        <v>0.35416666666666669</v>
      </c>
      <c r="K10" t="s">
        <v>20</v>
      </c>
      <c r="L10" t="s">
        <v>18</v>
      </c>
    </row>
    <row r="11" spans="1:12" x14ac:dyDescent="0.3">
      <c r="A11">
        <v>28531224</v>
      </c>
      <c r="B11" t="s">
        <v>9</v>
      </c>
      <c r="E11">
        <v>0.75</v>
      </c>
      <c r="F11">
        <v>0.83333333333333304</v>
      </c>
      <c r="G11">
        <v>0.79166666666666696</v>
      </c>
      <c r="H11">
        <v>48</v>
      </c>
      <c r="I11">
        <v>21</v>
      </c>
      <c r="J11">
        <f t="shared" si="0"/>
        <v>0.4375</v>
      </c>
      <c r="K11" t="s">
        <v>20</v>
      </c>
      <c r="L11" t="s">
        <v>18</v>
      </c>
    </row>
    <row r="12" spans="1:12" x14ac:dyDescent="0.3">
      <c r="A12">
        <v>28531224</v>
      </c>
      <c r="B12" t="s">
        <v>9</v>
      </c>
      <c r="E12">
        <v>0.83333333333333304</v>
      </c>
      <c r="F12">
        <v>0.91666666666666696</v>
      </c>
      <c r="G12">
        <v>0.875</v>
      </c>
      <c r="H12">
        <v>48</v>
      </c>
      <c r="I12">
        <v>19</v>
      </c>
      <c r="J12">
        <f t="shared" si="0"/>
        <v>0.39583333333333331</v>
      </c>
      <c r="K12" t="s">
        <v>20</v>
      </c>
      <c r="L12" t="s">
        <v>18</v>
      </c>
    </row>
    <row r="13" spans="1:12" x14ac:dyDescent="0.3">
      <c r="A13">
        <v>28531224</v>
      </c>
      <c r="B13" t="s">
        <v>9</v>
      </c>
      <c r="E13">
        <v>0.91666666666666696</v>
      </c>
      <c r="F13">
        <v>1</v>
      </c>
      <c r="G13">
        <v>0.91666666666666696</v>
      </c>
      <c r="H13">
        <v>48</v>
      </c>
      <c r="I13">
        <v>20</v>
      </c>
      <c r="J13">
        <f t="shared" si="0"/>
        <v>0.41666666666666669</v>
      </c>
      <c r="K13" t="s">
        <v>20</v>
      </c>
      <c r="L13" t="s">
        <v>18</v>
      </c>
    </row>
    <row r="14" spans="1:12" x14ac:dyDescent="0.3">
      <c r="A14">
        <v>28531224</v>
      </c>
      <c r="B14" t="s">
        <v>9</v>
      </c>
      <c r="E14">
        <v>1</v>
      </c>
      <c r="F14">
        <v>1.25</v>
      </c>
      <c r="G14">
        <v>1.125</v>
      </c>
      <c r="H14">
        <v>48</v>
      </c>
      <c r="I14">
        <v>25</v>
      </c>
      <c r="J14">
        <f t="shared" si="0"/>
        <v>0.52083333333333337</v>
      </c>
      <c r="K14" t="s">
        <v>20</v>
      </c>
      <c r="L14" t="s">
        <v>18</v>
      </c>
    </row>
    <row r="15" spans="1:12" x14ac:dyDescent="0.3">
      <c r="A15">
        <v>28531224</v>
      </c>
      <c r="B15" t="s">
        <v>9</v>
      </c>
      <c r="E15">
        <v>1.25</v>
      </c>
      <c r="F15">
        <v>1.5</v>
      </c>
      <c r="G15">
        <v>1.375</v>
      </c>
      <c r="H15">
        <v>48</v>
      </c>
      <c r="I15">
        <v>27</v>
      </c>
      <c r="J15">
        <f t="shared" si="0"/>
        <v>0.5625</v>
      </c>
      <c r="K15" t="s">
        <v>20</v>
      </c>
      <c r="L15" t="s">
        <v>18</v>
      </c>
    </row>
    <row r="16" spans="1:12" x14ac:dyDescent="0.3">
      <c r="A16">
        <v>28531224</v>
      </c>
      <c r="B16" t="s">
        <v>9</v>
      </c>
      <c r="E16">
        <v>1.5</v>
      </c>
      <c r="F16">
        <v>2</v>
      </c>
      <c r="G16">
        <v>1.75</v>
      </c>
      <c r="H16">
        <v>48</v>
      </c>
      <c r="I16">
        <v>40</v>
      </c>
      <c r="J16">
        <f t="shared" si="0"/>
        <v>0.83333333333333337</v>
      </c>
      <c r="K16" t="s">
        <v>20</v>
      </c>
      <c r="L16" t="s">
        <v>18</v>
      </c>
    </row>
    <row r="17" spans="1:12" x14ac:dyDescent="0.3">
      <c r="A17">
        <v>28531224</v>
      </c>
      <c r="B17" t="s">
        <v>9</v>
      </c>
      <c r="E17">
        <v>2</v>
      </c>
      <c r="F17">
        <v>3</v>
      </c>
      <c r="G17">
        <v>2.5</v>
      </c>
      <c r="H17">
        <v>48</v>
      </c>
      <c r="I17">
        <v>45</v>
      </c>
      <c r="J17">
        <f t="shared" si="0"/>
        <v>0.9375</v>
      </c>
      <c r="K17" t="s">
        <v>20</v>
      </c>
      <c r="L17" t="s">
        <v>18</v>
      </c>
    </row>
    <row r="18" spans="1:12" x14ac:dyDescent="0.3">
      <c r="A18">
        <v>28531224</v>
      </c>
      <c r="B18" t="s">
        <v>9</v>
      </c>
      <c r="E18">
        <v>3</v>
      </c>
      <c r="F18">
        <v>5</v>
      </c>
      <c r="G18">
        <v>4</v>
      </c>
      <c r="H18">
        <v>48</v>
      </c>
      <c r="I18">
        <v>48</v>
      </c>
      <c r="J18">
        <f t="shared" si="0"/>
        <v>1</v>
      </c>
      <c r="K18" t="s">
        <v>20</v>
      </c>
      <c r="L18" t="s">
        <v>18</v>
      </c>
    </row>
    <row r="19" spans="1:12" x14ac:dyDescent="0.3">
      <c r="A19">
        <v>28531224</v>
      </c>
      <c r="B19" t="s">
        <v>9</v>
      </c>
      <c r="E19">
        <v>5</v>
      </c>
      <c r="F19">
        <v>7</v>
      </c>
      <c r="G19">
        <v>6</v>
      </c>
      <c r="H19">
        <v>48</v>
      </c>
      <c r="I19">
        <v>48</v>
      </c>
      <c r="J19">
        <f t="shared" si="0"/>
        <v>1</v>
      </c>
      <c r="K19" t="s">
        <v>20</v>
      </c>
      <c r="L19" t="s">
        <v>18</v>
      </c>
    </row>
    <row r="20" spans="1:12" x14ac:dyDescent="0.3">
      <c r="A20">
        <v>28531224</v>
      </c>
      <c r="B20" t="s">
        <v>9</v>
      </c>
      <c r="E20">
        <v>7</v>
      </c>
      <c r="F20">
        <v>9</v>
      </c>
      <c r="G20">
        <v>8</v>
      </c>
      <c r="H20">
        <v>48</v>
      </c>
      <c r="I20">
        <v>48</v>
      </c>
      <c r="J20">
        <f t="shared" si="0"/>
        <v>1</v>
      </c>
      <c r="K20" t="s">
        <v>20</v>
      </c>
      <c r="L20" t="s">
        <v>18</v>
      </c>
    </row>
    <row r="21" spans="1:12" x14ac:dyDescent="0.3">
      <c r="A21">
        <v>28531224</v>
      </c>
      <c r="B21" t="s">
        <v>9</v>
      </c>
      <c r="E21">
        <v>9</v>
      </c>
      <c r="F21">
        <v>12.0833333333333</v>
      </c>
      <c r="G21">
        <v>10.5416666666667</v>
      </c>
      <c r="H21">
        <v>48</v>
      </c>
      <c r="I21">
        <v>48</v>
      </c>
      <c r="J21">
        <f t="shared" si="0"/>
        <v>1</v>
      </c>
      <c r="K21" t="s">
        <v>20</v>
      </c>
      <c r="L21" t="s">
        <v>18</v>
      </c>
    </row>
    <row r="22" spans="1:12" x14ac:dyDescent="0.3">
      <c r="A22">
        <v>31012488</v>
      </c>
      <c r="B22" t="s">
        <v>9</v>
      </c>
      <c r="E22">
        <v>0</v>
      </c>
      <c r="F22">
        <v>0</v>
      </c>
      <c r="G22">
        <v>0</v>
      </c>
      <c r="H22">
        <v>100</v>
      </c>
      <c r="I22">
        <v>100</v>
      </c>
      <c r="J22">
        <f t="shared" si="0"/>
        <v>1</v>
      </c>
      <c r="K22" t="s">
        <v>21</v>
      </c>
      <c r="L22" t="s">
        <v>19</v>
      </c>
    </row>
    <row r="23" spans="1:12" x14ac:dyDescent="0.3">
      <c r="A23">
        <v>31012488</v>
      </c>
      <c r="B23" t="s">
        <v>9</v>
      </c>
      <c r="E23">
        <v>0.25</v>
      </c>
      <c r="F23">
        <v>0.25</v>
      </c>
      <c r="G23">
        <v>0.25</v>
      </c>
      <c r="H23">
        <v>80</v>
      </c>
      <c r="I23">
        <v>57</v>
      </c>
      <c r="J23">
        <f t="shared" si="0"/>
        <v>0.71250000000000002</v>
      </c>
      <c r="K23" t="s">
        <v>21</v>
      </c>
      <c r="L23" t="s">
        <v>19</v>
      </c>
    </row>
    <row r="24" spans="1:12" x14ac:dyDescent="0.3">
      <c r="A24">
        <v>31012488</v>
      </c>
      <c r="B24" t="s">
        <v>9</v>
      </c>
      <c r="E24">
        <v>0.5</v>
      </c>
      <c r="F24">
        <v>0.5</v>
      </c>
      <c r="G24">
        <v>0.5</v>
      </c>
      <c r="H24">
        <v>150</v>
      </c>
      <c r="I24">
        <v>149</v>
      </c>
      <c r="J24">
        <f t="shared" si="0"/>
        <v>0.99333333333333329</v>
      </c>
      <c r="K24" t="s">
        <v>21</v>
      </c>
      <c r="L24" t="s">
        <v>19</v>
      </c>
    </row>
    <row r="25" spans="1:12" x14ac:dyDescent="0.3">
      <c r="A25">
        <v>31012488</v>
      </c>
      <c r="B25" t="s">
        <v>9</v>
      </c>
      <c r="E25">
        <v>0.75</v>
      </c>
      <c r="F25">
        <v>0.75</v>
      </c>
      <c r="G25">
        <v>0.75</v>
      </c>
      <c r="H25">
        <v>150</v>
      </c>
      <c r="I25">
        <v>11</v>
      </c>
      <c r="J25">
        <f t="shared" si="0"/>
        <v>7.3333333333333334E-2</v>
      </c>
      <c r="K25" t="s">
        <v>21</v>
      </c>
      <c r="L25" t="s">
        <v>19</v>
      </c>
    </row>
    <row r="26" spans="1:12" x14ac:dyDescent="0.3">
      <c r="A26">
        <v>31012488</v>
      </c>
      <c r="B26" t="s">
        <v>9</v>
      </c>
      <c r="E26">
        <v>1</v>
      </c>
      <c r="F26">
        <v>1</v>
      </c>
      <c r="G26">
        <v>1</v>
      </c>
      <c r="H26">
        <v>150</v>
      </c>
      <c r="I26">
        <v>10</v>
      </c>
      <c r="J26">
        <f t="shared" si="0"/>
        <v>6.6666666666666666E-2</v>
      </c>
      <c r="K26" t="s">
        <v>21</v>
      </c>
      <c r="L26" t="s">
        <v>19</v>
      </c>
    </row>
    <row r="27" spans="1:12" x14ac:dyDescent="0.3">
      <c r="A27">
        <v>31012488</v>
      </c>
      <c r="B27" t="s">
        <v>9</v>
      </c>
      <c r="E27">
        <v>1.25</v>
      </c>
      <c r="F27">
        <v>1.25</v>
      </c>
      <c r="G27">
        <v>1.25</v>
      </c>
      <c r="H27">
        <v>150</v>
      </c>
      <c r="I27">
        <v>24</v>
      </c>
      <c r="J27">
        <f t="shared" si="0"/>
        <v>0.16</v>
      </c>
      <c r="K27" t="s">
        <v>21</v>
      </c>
      <c r="L27" t="s">
        <v>19</v>
      </c>
    </row>
    <row r="28" spans="1:12" x14ac:dyDescent="0.3">
      <c r="A28">
        <v>31012488</v>
      </c>
      <c r="B28" t="s">
        <v>9</v>
      </c>
      <c r="E28">
        <v>1.3333333333333299</v>
      </c>
      <c r="F28">
        <v>2</v>
      </c>
      <c r="G28">
        <v>1.6666666666666701</v>
      </c>
      <c r="H28">
        <v>31</v>
      </c>
      <c r="I28">
        <v>20</v>
      </c>
      <c r="J28">
        <f t="shared" si="0"/>
        <v>0.64516129032258063</v>
      </c>
      <c r="K28" t="s">
        <v>21</v>
      </c>
      <c r="L28" t="s">
        <v>19</v>
      </c>
    </row>
    <row r="29" spans="1:12" x14ac:dyDescent="0.3">
      <c r="A29">
        <v>31012488</v>
      </c>
      <c r="B29" t="s">
        <v>9</v>
      </c>
      <c r="E29">
        <v>2.0833333333333299</v>
      </c>
      <c r="F29">
        <v>3</v>
      </c>
      <c r="G29">
        <v>2.5416666666666701</v>
      </c>
      <c r="H29">
        <v>49</v>
      </c>
      <c r="I29">
        <v>33</v>
      </c>
      <c r="J29">
        <f t="shared" si="0"/>
        <v>0.67346938775510201</v>
      </c>
      <c r="K29" t="s">
        <v>21</v>
      </c>
      <c r="L29" t="s">
        <v>19</v>
      </c>
    </row>
    <row r="30" spans="1:12" x14ac:dyDescent="0.3">
      <c r="A30">
        <v>31012488</v>
      </c>
      <c r="B30" t="s">
        <v>9</v>
      </c>
      <c r="E30">
        <v>4</v>
      </c>
      <c r="F30">
        <v>4</v>
      </c>
      <c r="G30">
        <v>4</v>
      </c>
      <c r="H30">
        <v>62</v>
      </c>
      <c r="I30">
        <v>59</v>
      </c>
      <c r="J30">
        <f t="shared" si="0"/>
        <v>0.95161290322580649</v>
      </c>
      <c r="K30" t="s">
        <v>21</v>
      </c>
      <c r="L30" t="s">
        <v>19</v>
      </c>
    </row>
    <row r="31" spans="1:12" x14ac:dyDescent="0.3">
      <c r="A31">
        <v>31012488</v>
      </c>
      <c r="B31" t="s">
        <v>9</v>
      </c>
      <c r="E31">
        <v>5</v>
      </c>
      <c r="F31">
        <v>5</v>
      </c>
      <c r="G31">
        <v>5</v>
      </c>
      <c r="H31">
        <v>61</v>
      </c>
      <c r="I31">
        <v>56</v>
      </c>
      <c r="J31">
        <f t="shared" si="0"/>
        <v>0.91803278688524592</v>
      </c>
      <c r="K31" t="s">
        <v>21</v>
      </c>
      <c r="L31" t="s">
        <v>19</v>
      </c>
    </row>
    <row r="32" spans="1:12" x14ac:dyDescent="0.3">
      <c r="A32">
        <v>31012488</v>
      </c>
      <c r="B32" t="s">
        <v>9</v>
      </c>
      <c r="E32">
        <v>6</v>
      </c>
      <c r="F32">
        <v>10</v>
      </c>
      <c r="G32">
        <v>8</v>
      </c>
      <c r="H32">
        <v>134</v>
      </c>
      <c r="I32">
        <v>122</v>
      </c>
      <c r="J32">
        <f t="shared" si="0"/>
        <v>0.91044776119402981</v>
      </c>
      <c r="K32" t="s">
        <v>21</v>
      </c>
      <c r="L32" t="s">
        <v>19</v>
      </c>
    </row>
    <row r="33" spans="1:12" x14ac:dyDescent="0.3">
      <c r="A33">
        <v>31012488</v>
      </c>
      <c r="B33" t="s">
        <v>9</v>
      </c>
      <c r="E33">
        <v>11</v>
      </c>
      <c r="F33">
        <v>15</v>
      </c>
      <c r="G33">
        <v>13</v>
      </c>
      <c r="H33">
        <v>139</v>
      </c>
      <c r="I33">
        <v>128</v>
      </c>
      <c r="J33">
        <f t="shared" si="0"/>
        <v>0.92086330935251803</v>
      </c>
      <c r="K33" t="s">
        <v>21</v>
      </c>
      <c r="L33" t="s">
        <v>19</v>
      </c>
    </row>
    <row r="34" spans="1:12" x14ac:dyDescent="0.3">
      <c r="A34">
        <v>31012488</v>
      </c>
      <c r="B34" t="s">
        <v>9</v>
      </c>
      <c r="E34">
        <v>16</v>
      </c>
      <c r="F34">
        <v>35</v>
      </c>
      <c r="G34">
        <v>25.5</v>
      </c>
      <c r="H34">
        <v>51</v>
      </c>
      <c r="I34">
        <v>49</v>
      </c>
      <c r="J34">
        <f t="shared" ref="J34:J65" si="1">I34/H34</f>
        <v>0.96078431372549022</v>
      </c>
      <c r="K34" t="s">
        <v>21</v>
      </c>
      <c r="L34" t="s">
        <v>19</v>
      </c>
    </row>
    <row r="35" spans="1:12" x14ac:dyDescent="0.3">
      <c r="A35">
        <v>31012488</v>
      </c>
      <c r="B35" t="s">
        <v>9</v>
      </c>
      <c r="E35">
        <v>36</v>
      </c>
      <c r="F35">
        <v>60</v>
      </c>
      <c r="G35">
        <v>48</v>
      </c>
      <c r="H35">
        <v>44</v>
      </c>
      <c r="I35">
        <v>42</v>
      </c>
      <c r="J35">
        <f t="shared" si="1"/>
        <v>0.95454545454545459</v>
      </c>
      <c r="K35" t="s">
        <v>21</v>
      </c>
      <c r="L35" t="s">
        <v>19</v>
      </c>
    </row>
    <row r="36" spans="1:12" x14ac:dyDescent="0.3">
      <c r="A36">
        <v>31012488</v>
      </c>
      <c r="B36" t="s">
        <v>9</v>
      </c>
      <c r="E36">
        <v>61</v>
      </c>
      <c r="F36">
        <v>70</v>
      </c>
      <c r="G36">
        <v>65.5</v>
      </c>
      <c r="H36">
        <v>69</v>
      </c>
      <c r="I36">
        <v>64</v>
      </c>
      <c r="J36">
        <f t="shared" si="1"/>
        <v>0.92753623188405798</v>
      </c>
      <c r="K36" t="s">
        <v>21</v>
      </c>
      <c r="L36" t="s">
        <v>19</v>
      </c>
    </row>
    <row r="37" spans="1:12" x14ac:dyDescent="0.3">
      <c r="A37">
        <v>31012488</v>
      </c>
      <c r="B37" t="s">
        <v>9</v>
      </c>
      <c r="E37">
        <v>71</v>
      </c>
      <c r="F37">
        <v>85</v>
      </c>
      <c r="G37">
        <v>78</v>
      </c>
      <c r="H37">
        <v>55</v>
      </c>
      <c r="I37">
        <v>54</v>
      </c>
      <c r="J37">
        <f t="shared" si="1"/>
        <v>0.98181818181818181</v>
      </c>
      <c r="K37" t="s">
        <v>21</v>
      </c>
      <c r="L37" t="s">
        <v>19</v>
      </c>
    </row>
    <row r="38" spans="1:12" x14ac:dyDescent="0.3">
      <c r="A38">
        <v>19080178</v>
      </c>
      <c r="B38" t="s">
        <v>9</v>
      </c>
      <c r="E38">
        <v>0</v>
      </c>
      <c r="F38">
        <v>0.41666666666666702</v>
      </c>
      <c r="G38">
        <v>0.20833333333333301</v>
      </c>
      <c r="H38">
        <v>47</v>
      </c>
      <c r="I38">
        <v>32</v>
      </c>
      <c r="J38">
        <f t="shared" si="1"/>
        <v>0.68085106382978722</v>
      </c>
      <c r="K38" t="s">
        <v>22</v>
      </c>
      <c r="L38">
        <v>2008</v>
      </c>
    </row>
    <row r="39" spans="1:12" x14ac:dyDescent="0.3">
      <c r="A39">
        <v>19080178</v>
      </c>
      <c r="B39" t="s">
        <v>9</v>
      </c>
      <c r="E39">
        <v>0.5</v>
      </c>
      <c r="F39">
        <v>0.91666666666666696</v>
      </c>
      <c r="G39">
        <v>0.70833333333333304</v>
      </c>
      <c r="H39">
        <v>50</v>
      </c>
      <c r="I39">
        <v>33</v>
      </c>
      <c r="J39">
        <f t="shared" si="1"/>
        <v>0.66</v>
      </c>
      <c r="K39" t="s">
        <v>22</v>
      </c>
      <c r="L39">
        <v>2008</v>
      </c>
    </row>
    <row r="40" spans="1:12" x14ac:dyDescent="0.3">
      <c r="A40">
        <v>19080178</v>
      </c>
      <c r="B40" t="s">
        <v>9</v>
      </c>
      <c r="E40">
        <v>1</v>
      </c>
      <c r="F40">
        <v>1.9166666666666701</v>
      </c>
      <c r="G40">
        <v>1.4583333333333299</v>
      </c>
      <c r="H40">
        <v>110</v>
      </c>
      <c r="I40">
        <v>90</v>
      </c>
      <c r="J40">
        <f t="shared" si="1"/>
        <v>0.81818181818181823</v>
      </c>
      <c r="K40" t="s">
        <v>22</v>
      </c>
      <c r="L40">
        <v>2008</v>
      </c>
    </row>
    <row r="41" spans="1:12" x14ac:dyDescent="0.3">
      <c r="A41">
        <v>19080178</v>
      </c>
      <c r="B41" t="s">
        <v>9</v>
      </c>
      <c r="E41">
        <v>2</v>
      </c>
      <c r="F41">
        <v>2.9166666666666701</v>
      </c>
      <c r="G41">
        <v>2.4583333333333299</v>
      </c>
      <c r="H41">
        <v>30</v>
      </c>
      <c r="I41">
        <v>27</v>
      </c>
      <c r="J41">
        <f t="shared" si="1"/>
        <v>0.9</v>
      </c>
      <c r="K41" t="s">
        <v>22</v>
      </c>
      <c r="L41">
        <v>2008</v>
      </c>
    </row>
    <row r="42" spans="1:12" x14ac:dyDescent="0.3">
      <c r="A42">
        <v>19080178</v>
      </c>
      <c r="B42" t="s">
        <v>9</v>
      </c>
      <c r="E42">
        <v>3</v>
      </c>
      <c r="F42">
        <v>6</v>
      </c>
      <c r="G42">
        <v>4.5</v>
      </c>
      <c r="H42">
        <v>87</v>
      </c>
      <c r="I42">
        <v>86</v>
      </c>
      <c r="J42">
        <f t="shared" si="1"/>
        <v>0.9885057471264368</v>
      </c>
      <c r="K42" t="s">
        <v>22</v>
      </c>
      <c r="L42">
        <v>2008</v>
      </c>
    </row>
    <row r="43" spans="1:12" x14ac:dyDescent="0.3">
      <c r="A43">
        <v>22748150</v>
      </c>
      <c r="B43" t="s">
        <v>10</v>
      </c>
      <c r="C43" t="s">
        <v>11</v>
      </c>
      <c r="E43">
        <v>0</v>
      </c>
      <c r="F43">
        <v>2</v>
      </c>
      <c r="G43">
        <v>1</v>
      </c>
      <c r="H43">
        <v>80</v>
      </c>
      <c r="I43">
        <v>29</v>
      </c>
      <c r="J43">
        <f t="shared" si="1"/>
        <v>0.36249999999999999</v>
      </c>
      <c r="K43" t="s">
        <v>23</v>
      </c>
      <c r="L43">
        <v>2012</v>
      </c>
    </row>
    <row r="44" spans="1:12" x14ac:dyDescent="0.3">
      <c r="A44">
        <v>22748150</v>
      </c>
      <c r="B44" t="s">
        <v>10</v>
      </c>
      <c r="C44" t="s">
        <v>11</v>
      </c>
      <c r="E44">
        <v>2</v>
      </c>
      <c r="F44">
        <v>9</v>
      </c>
      <c r="G44">
        <v>5.5</v>
      </c>
      <c r="H44">
        <v>7</v>
      </c>
      <c r="I44">
        <v>5</v>
      </c>
      <c r="J44">
        <f t="shared" si="1"/>
        <v>0.7142857142857143</v>
      </c>
      <c r="K44" t="s">
        <v>23</v>
      </c>
      <c r="L44">
        <v>2012</v>
      </c>
    </row>
    <row r="45" spans="1:12" x14ac:dyDescent="0.3">
      <c r="A45">
        <v>22748150</v>
      </c>
      <c r="B45" t="s">
        <v>10</v>
      </c>
      <c r="C45" t="s">
        <v>11</v>
      </c>
      <c r="E45">
        <v>10</v>
      </c>
      <c r="F45">
        <v>19</v>
      </c>
      <c r="G45">
        <v>14.5</v>
      </c>
      <c r="H45">
        <v>43</v>
      </c>
      <c r="I45">
        <v>41</v>
      </c>
      <c r="J45">
        <f t="shared" si="1"/>
        <v>0.95348837209302328</v>
      </c>
      <c r="K45" t="s">
        <v>23</v>
      </c>
      <c r="L45">
        <v>2012</v>
      </c>
    </row>
    <row r="46" spans="1:12" x14ac:dyDescent="0.3">
      <c r="A46">
        <v>22748150</v>
      </c>
      <c r="B46" t="s">
        <v>10</v>
      </c>
      <c r="C46" t="s">
        <v>11</v>
      </c>
      <c r="E46">
        <v>20</v>
      </c>
      <c r="F46">
        <v>29</v>
      </c>
      <c r="G46">
        <v>24.5</v>
      </c>
      <c r="H46">
        <v>772</v>
      </c>
      <c r="I46">
        <v>733</v>
      </c>
      <c r="J46">
        <f t="shared" si="1"/>
        <v>0.94948186528497414</v>
      </c>
      <c r="K46" t="s">
        <v>23</v>
      </c>
      <c r="L46">
        <v>2012</v>
      </c>
    </row>
    <row r="47" spans="1:12" x14ac:dyDescent="0.3">
      <c r="A47">
        <v>22748150</v>
      </c>
      <c r="B47" t="s">
        <v>10</v>
      </c>
      <c r="C47" t="s">
        <v>11</v>
      </c>
      <c r="E47">
        <v>30</v>
      </c>
      <c r="F47">
        <v>39</v>
      </c>
      <c r="G47">
        <v>34.5</v>
      </c>
      <c r="H47">
        <v>417</v>
      </c>
      <c r="I47">
        <v>397</v>
      </c>
      <c r="J47">
        <f t="shared" si="1"/>
        <v>0.95203836930455632</v>
      </c>
      <c r="K47" t="s">
        <v>23</v>
      </c>
      <c r="L47">
        <v>2012</v>
      </c>
    </row>
    <row r="48" spans="1:12" x14ac:dyDescent="0.3">
      <c r="A48">
        <v>22748150</v>
      </c>
      <c r="B48" t="s">
        <v>10</v>
      </c>
      <c r="C48" t="s">
        <v>11</v>
      </c>
      <c r="E48">
        <v>40</v>
      </c>
      <c r="F48">
        <v>49</v>
      </c>
      <c r="G48">
        <v>44.5</v>
      </c>
      <c r="H48">
        <v>281</v>
      </c>
      <c r="I48">
        <v>269</v>
      </c>
      <c r="J48">
        <f t="shared" si="1"/>
        <v>0.95729537366548045</v>
      </c>
      <c r="K48" t="s">
        <v>23</v>
      </c>
      <c r="L48">
        <v>2012</v>
      </c>
    </row>
    <row r="49" spans="1:12" x14ac:dyDescent="0.3">
      <c r="A49">
        <v>22748150</v>
      </c>
      <c r="B49" t="s">
        <v>10</v>
      </c>
      <c r="C49" t="s">
        <v>11</v>
      </c>
      <c r="E49">
        <v>50</v>
      </c>
      <c r="F49">
        <v>59</v>
      </c>
      <c r="G49">
        <v>54.5</v>
      </c>
      <c r="H49">
        <v>134</v>
      </c>
      <c r="I49">
        <v>123</v>
      </c>
      <c r="J49">
        <f t="shared" si="1"/>
        <v>0.91791044776119401</v>
      </c>
      <c r="K49" t="s">
        <v>23</v>
      </c>
      <c r="L49">
        <v>2012</v>
      </c>
    </row>
    <row r="50" spans="1:12" x14ac:dyDescent="0.3">
      <c r="A50">
        <v>22748150</v>
      </c>
      <c r="B50" t="s">
        <v>10</v>
      </c>
      <c r="C50" t="s">
        <v>11</v>
      </c>
      <c r="E50">
        <v>60</v>
      </c>
      <c r="F50">
        <v>69</v>
      </c>
      <c r="G50">
        <v>64.5</v>
      </c>
      <c r="H50">
        <v>52</v>
      </c>
      <c r="I50">
        <v>50</v>
      </c>
      <c r="J50">
        <f t="shared" si="1"/>
        <v>0.96153846153846156</v>
      </c>
      <c r="K50" t="s">
        <v>23</v>
      </c>
      <c r="L50">
        <v>2012</v>
      </c>
    </row>
    <row r="51" spans="1:12" x14ac:dyDescent="0.3">
      <c r="A51">
        <v>22748150</v>
      </c>
      <c r="B51" t="s">
        <v>10</v>
      </c>
      <c r="C51" t="s">
        <v>11</v>
      </c>
      <c r="E51">
        <v>70</v>
      </c>
      <c r="F51">
        <v>79</v>
      </c>
      <c r="G51">
        <v>74.5</v>
      </c>
      <c r="H51">
        <v>19</v>
      </c>
      <c r="I51">
        <v>18</v>
      </c>
      <c r="J51">
        <f t="shared" si="1"/>
        <v>0.94736842105263153</v>
      </c>
      <c r="K51" t="s">
        <v>23</v>
      </c>
      <c r="L51">
        <v>2012</v>
      </c>
    </row>
    <row r="52" spans="1:12" x14ac:dyDescent="0.3">
      <c r="A52">
        <v>22748150</v>
      </c>
      <c r="B52" t="s">
        <v>10</v>
      </c>
      <c r="C52" t="s">
        <v>11</v>
      </c>
      <c r="E52">
        <v>80</v>
      </c>
      <c r="F52">
        <v>89</v>
      </c>
      <c r="G52">
        <v>84.5</v>
      </c>
      <c r="H52">
        <v>6</v>
      </c>
      <c r="I52">
        <v>5</v>
      </c>
      <c r="J52">
        <f t="shared" si="1"/>
        <v>0.83333333333333337</v>
      </c>
      <c r="K52" t="s">
        <v>23</v>
      </c>
      <c r="L52">
        <v>2012</v>
      </c>
    </row>
    <row r="53" spans="1:12" x14ac:dyDescent="0.3">
      <c r="A53">
        <v>21310026</v>
      </c>
      <c r="B53" t="s">
        <v>10</v>
      </c>
      <c r="C53" t="s">
        <v>7</v>
      </c>
      <c r="E53">
        <v>0</v>
      </c>
      <c r="F53">
        <f>5/12</f>
        <v>0.41666666666666669</v>
      </c>
      <c r="G53">
        <v>0.29166666666666702</v>
      </c>
      <c r="H53">
        <v>42</v>
      </c>
      <c r="I53">
        <v>30</v>
      </c>
      <c r="J53">
        <f t="shared" si="1"/>
        <v>0.7142857142857143</v>
      </c>
      <c r="K53" t="s">
        <v>24</v>
      </c>
      <c r="L53">
        <v>2008</v>
      </c>
    </row>
    <row r="54" spans="1:12" x14ac:dyDescent="0.3">
      <c r="A54">
        <v>21310026</v>
      </c>
      <c r="B54" t="s">
        <v>10</v>
      </c>
      <c r="C54" t="s">
        <v>7</v>
      </c>
      <c r="E54">
        <v>0.5</v>
      </c>
      <c r="F54">
        <f>11/12</f>
        <v>0.91666666666666663</v>
      </c>
      <c r="G54">
        <v>0.75</v>
      </c>
      <c r="H54">
        <v>58</v>
      </c>
      <c r="I54">
        <v>49</v>
      </c>
      <c r="J54">
        <f t="shared" si="1"/>
        <v>0.84482758620689657</v>
      </c>
      <c r="K54" t="s">
        <v>24</v>
      </c>
      <c r="L54">
        <v>2008</v>
      </c>
    </row>
    <row r="55" spans="1:12" x14ac:dyDescent="0.3">
      <c r="A55">
        <v>21310026</v>
      </c>
      <c r="B55" t="s">
        <v>10</v>
      </c>
      <c r="C55" t="s">
        <v>7</v>
      </c>
      <c r="E55">
        <v>1</v>
      </c>
      <c r="F55">
        <v>2</v>
      </c>
      <c r="G55">
        <v>2</v>
      </c>
      <c r="H55">
        <v>85</v>
      </c>
      <c r="I55">
        <v>76</v>
      </c>
      <c r="J55">
        <f t="shared" si="1"/>
        <v>0.89411764705882357</v>
      </c>
      <c r="K55" t="s">
        <v>24</v>
      </c>
      <c r="L55">
        <v>2008</v>
      </c>
    </row>
    <row r="56" spans="1:12" x14ac:dyDescent="0.3">
      <c r="A56">
        <v>21310026</v>
      </c>
      <c r="B56" t="s">
        <v>10</v>
      </c>
      <c r="C56" t="s">
        <v>7</v>
      </c>
      <c r="E56">
        <v>3</v>
      </c>
      <c r="F56">
        <v>5</v>
      </c>
      <c r="G56">
        <v>4.5</v>
      </c>
      <c r="H56">
        <v>93</v>
      </c>
      <c r="I56">
        <v>89</v>
      </c>
      <c r="J56">
        <f t="shared" si="1"/>
        <v>0.956989247311828</v>
      </c>
      <c r="K56" t="s">
        <v>24</v>
      </c>
      <c r="L56">
        <v>2008</v>
      </c>
    </row>
    <row r="57" spans="1:12" x14ac:dyDescent="0.3">
      <c r="A57">
        <v>21310026</v>
      </c>
      <c r="B57" t="s">
        <v>10</v>
      </c>
      <c r="C57" t="s">
        <v>7</v>
      </c>
      <c r="E57">
        <v>6</v>
      </c>
      <c r="F57">
        <v>19</v>
      </c>
      <c r="G57">
        <v>13</v>
      </c>
      <c r="H57">
        <v>122</v>
      </c>
      <c r="I57">
        <v>119</v>
      </c>
      <c r="J57">
        <f t="shared" si="1"/>
        <v>0.97540983606557374</v>
      </c>
      <c r="K57" t="s">
        <v>24</v>
      </c>
      <c r="L57">
        <v>2008</v>
      </c>
    </row>
    <row r="58" spans="1:12" x14ac:dyDescent="0.3">
      <c r="A58">
        <v>21310026</v>
      </c>
      <c r="B58" t="s">
        <v>10</v>
      </c>
      <c r="C58" t="s">
        <v>7</v>
      </c>
      <c r="E58">
        <v>20</v>
      </c>
      <c r="F58">
        <v>39</v>
      </c>
      <c r="G58">
        <v>30</v>
      </c>
      <c r="H58">
        <v>248</v>
      </c>
      <c r="I58">
        <v>248</v>
      </c>
      <c r="J58">
        <f t="shared" si="1"/>
        <v>1</v>
      </c>
      <c r="K58" t="s">
        <v>24</v>
      </c>
      <c r="L58">
        <v>2008</v>
      </c>
    </row>
    <row r="59" spans="1:12" x14ac:dyDescent="0.3">
      <c r="A59">
        <v>21310026</v>
      </c>
      <c r="B59" t="s">
        <v>10</v>
      </c>
      <c r="C59" t="s">
        <v>7</v>
      </c>
      <c r="E59">
        <v>40</v>
      </c>
      <c r="F59">
        <v>59</v>
      </c>
      <c r="G59">
        <v>50</v>
      </c>
      <c r="H59">
        <v>328</v>
      </c>
      <c r="I59">
        <v>328</v>
      </c>
      <c r="J59">
        <f t="shared" si="1"/>
        <v>1</v>
      </c>
      <c r="K59" t="s">
        <v>24</v>
      </c>
      <c r="L59">
        <v>2008</v>
      </c>
    </row>
    <row r="60" spans="1:12" x14ac:dyDescent="0.3">
      <c r="A60">
        <v>21310026</v>
      </c>
      <c r="B60" t="s">
        <v>10</v>
      </c>
      <c r="C60" t="s">
        <v>7</v>
      </c>
      <c r="E60">
        <v>60</v>
      </c>
      <c r="F60">
        <v>80</v>
      </c>
      <c r="G60">
        <v>70</v>
      </c>
      <c r="H60">
        <v>180</v>
      </c>
      <c r="I60">
        <v>180</v>
      </c>
      <c r="J60">
        <f t="shared" si="1"/>
        <v>1</v>
      </c>
      <c r="K60" t="s">
        <v>24</v>
      </c>
      <c r="L60">
        <v>2008</v>
      </c>
    </row>
    <row r="61" spans="1:12" x14ac:dyDescent="0.3">
      <c r="A61">
        <v>1335108</v>
      </c>
      <c r="B61" t="s">
        <v>12</v>
      </c>
      <c r="C61" t="s">
        <v>13</v>
      </c>
      <c r="E61">
        <v>0</v>
      </c>
      <c r="F61">
        <v>0.5</v>
      </c>
      <c r="G61">
        <v>0.25</v>
      </c>
      <c r="H61">
        <v>169</v>
      </c>
      <c r="I61">
        <v>150</v>
      </c>
      <c r="J61">
        <f t="shared" si="1"/>
        <v>0.8875739644970414</v>
      </c>
      <c r="K61" t="s">
        <v>25</v>
      </c>
      <c r="L61">
        <v>1992</v>
      </c>
    </row>
    <row r="62" spans="1:12" x14ac:dyDescent="0.3">
      <c r="A62">
        <v>1335108</v>
      </c>
      <c r="B62" t="s">
        <v>12</v>
      </c>
      <c r="C62" t="s">
        <v>13</v>
      </c>
      <c r="E62">
        <v>0.5</v>
      </c>
      <c r="F62">
        <v>1</v>
      </c>
      <c r="G62">
        <v>0.75</v>
      </c>
      <c r="H62">
        <v>153</v>
      </c>
      <c r="I62">
        <v>99</v>
      </c>
      <c r="J62">
        <f t="shared" si="1"/>
        <v>0.6470588235294118</v>
      </c>
      <c r="K62" t="s">
        <v>25</v>
      </c>
      <c r="L62">
        <v>1992</v>
      </c>
    </row>
    <row r="63" spans="1:12" x14ac:dyDescent="0.3">
      <c r="A63">
        <v>1335108</v>
      </c>
      <c r="B63" t="s">
        <v>12</v>
      </c>
      <c r="C63" t="s">
        <v>13</v>
      </c>
      <c r="E63">
        <v>1</v>
      </c>
      <c r="F63">
        <v>2</v>
      </c>
      <c r="G63">
        <v>1.5</v>
      </c>
      <c r="H63">
        <v>195</v>
      </c>
      <c r="I63">
        <v>145</v>
      </c>
      <c r="J63">
        <f t="shared" si="1"/>
        <v>0.74358974358974361</v>
      </c>
      <c r="K63" t="s">
        <v>25</v>
      </c>
      <c r="L63">
        <v>1992</v>
      </c>
    </row>
    <row r="64" spans="1:12" x14ac:dyDescent="0.3">
      <c r="A64">
        <v>1335108</v>
      </c>
      <c r="B64" t="s">
        <v>12</v>
      </c>
      <c r="C64" t="s">
        <v>13</v>
      </c>
      <c r="E64">
        <v>2</v>
      </c>
      <c r="F64">
        <v>3</v>
      </c>
      <c r="G64">
        <v>2.5</v>
      </c>
      <c r="H64">
        <v>215</v>
      </c>
      <c r="I64">
        <v>169</v>
      </c>
      <c r="J64">
        <f t="shared" si="1"/>
        <v>0.78604651162790695</v>
      </c>
      <c r="K64" t="s">
        <v>25</v>
      </c>
      <c r="L64">
        <v>1992</v>
      </c>
    </row>
    <row r="65" spans="1:12" x14ac:dyDescent="0.3">
      <c r="A65">
        <v>1335108</v>
      </c>
      <c r="B65" t="s">
        <v>12</v>
      </c>
      <c r="C65" t="s">
        <v>13</v>
      </c>
      <c r="E65">
        <v>3</v>
      </c>
      <c r="F65">
        <v>4</v>
      </c>
      <c r="G65">
        <v>3.5</v>
      </c>
      <c r="H65">
        <v>213</v>
      </c>
      <c r="I65">
        <v>186</v>
      </c>
      <c r="J65">
        <f t="shared" si="1"/>
        <v>0.87323943661971826</v>
      </c>
      <c r="K65" t="s">
        <v>25</v>
      </c>
      <c r="L65">
        <v>1992</v>
      </c>
    </row>
    <row r="66" spans="1:12" x14ac:dyDescent="0.3">
      <c r="A66">
        <v>1335108</v>
      </c>
      <c r="B66" t="s">
        <v>12</v>
      </c>
      <c r="C66" t="s">
        <v>13</v>
      </c>
      <c r="E66">
        <v>4</v>
      </c>
      <c r="F66">
        <v>6</v>
      </c>
      <c r="G66">
        <v>5</v>
      </c>
      <c r="H66">
        <v>443</v>
      </c>
      <c r="I66">
        <v>415</v>
      </c>
      <c r="J66">
        <f t="shared" ref="J66:J97" si="2">I66/H66</f>
        <v>0.93679458239277658</v>
      </c>
      <c r="K66" t="s">
        <v>25</v>
      </c>
      <c r="L66">
        <v>1992</v>
      </c>
    </row>
    <row r="67" spans="1:12" x14ac:dyDescent="0.3">
      <c r="A67">
        <v>1335108</v>
      </c>
      <c r="B67" t="s">
        <v>12</v>
      </c>
      <c r="C67" t="s">
        <v>13</v>
      </c>
      <c r="E67">
        <v>6</v>
      </c>
      <c r="F67">
        <v>9</v>
      </c>
      <c r="G67">
        <v>7.5</v>
      </c>
      <c r="H67">
        <v>472</v>
      </c>
      <c r="I67">
        <v>451</v>
      </c>
      <c r="J67">
        <f t="shared" si="2"/>
        <v>0.95550847457627119</v>
      </c>
      <c r="K67" t="s">
        <v>25</v>
      </c>
      <c r="L67">
        <v>1992</v>
      </c>
    </row>
    <row r="68" spans="1:12" x14ac:dyDescent="0.3">
      <c r="A68">
        <v>1335108</v>
      </c>
      <c r="B68" t="s">
        <v>12</v>
      </c>
      <c r="C68" t="s">
        <v>13</v>
      </c>
      <c r="E68">
        <v>9</v>
      </c>
      <c r="F68">
        <v>12</v>
      </c>
      <c r="G68">
        <v>10.5</v>
      </c>
      <c r="H68">
        <v>405</v>
      </c>
      <c r="I68">
        <v>378</v>
      </c>
      <c r="J68">
        <f t="shared" si="2"/>
        <v>0.93333333333333335</v>
      </c>
      <c r="K68" t="s">
        <v>25</v>
      </c>
      <c r="L68">
        <v>1992</v>
      </c>
    </row>
    <row r="69" spans="1:12" x14ac:dyDescent="0.3">
      <c r="A69">
        <v>1335108</v>
      </c>
      <c r="B69" t="s">
        <v>12</v>
      </c>
      <c r="C69" t="s">
        <v>13</v>
      </c>
      <c r="E69">
        <v>12</v>
      </c>
      <c r="F69">
        <v>15</v>
      </c>
      <c r="G69">
        <v>13.5</v>
      </c>
      <c r="H69">
        <v>249</v>
      </c>
      <c r="I69">
        <v>232</v>
      </c>
      <c r="J69">
        <f t="shared" si="2"/>
        <v>0.93172690763052213</v>
      </c>
      <c r="K69" t="s">
        <v>25</v>
      </c>
      <c r="L69">
        <v>1992</v>
      </c>
    </row>
    <row r="70" spans="1:12" s="1" customFormat="1" x14ac:dyDescent="0.3">
      <c r="A70" s="1">
        <v>4341999</v>
      </c>
      <c r="B70" s="1" t="s">
        <v>14</v>
      </c>
      <c r="C70" s="1" t="s">
        <v>13</v>
      </c>
      <c r="E70" s="1">
        <v>0</v>
      </c>
      <c r="F70" s="1">
        <v>1</v>
      </c>
      <c r="G70" s="1">
        <v>0.5</v>
      </c>
      <c r="H70" s="1">
        <v>25</v>
      </c>
      <c r="I70" s="1">
        <v>4</v>
      </c>
      <c r="J70" s="1">
        <f t="shared" si="2"/>
        <v>0.16</v>
      </c>
    </row>
    <row r="71" spans="1:12" s="1" customFormat="1" x14ac:dyDescent="0.3">
      <c r="A71" s="1">
        <v>4341999</v>
      </c>
      <c r="B71" s="1" t="s">
        <v>14</v>
      </c>
      <c r="C71" s="1" t="s">
        <v>13</v>
      </c>
      <c r="E71" s="1">
        <v>1</v>
      </c>
      <c r="F71" s="1">
        <v>3</v>
      </c>
      <c r="G71" s="1">
        <v>2</v>
      </c>
      <c r="H71" s="1">
        <v>66</v>
      </c>
      <c r="I71" s="1">
        <v>17</v>
      </c>
      <c r="J71" s="1">
        <f t="shared" si="2"/>
        <v>0.25757575757575757</v>
      </c>
    </row>
    <row r="72" spans="1:12" s="1" customFormat="1" x14ac:dyDescent="0.3">
      <c r="A72" s="1">
        <v>4341999</v>
      </c>
      <c r="B72" s="1" t="s">
        <v>14</v>
      </c>
      <c r="C72" s="1" t="s">
        <v>13</v>
      </c>
      <c r="E72" s="1">
        <v>3</v>
      </c>
      <c r="F72" s="1">
        <v>5</v>
      </c>
      <c r="G72" s="1">
        <v>4</v>
      </c>
      <c r="H72" s="1">
        <v>76</v>
      </c>
      <c r="I72" s="1">
        <v>33</v>
      </c>
      <c r="J72" s="1">
        <f t="shared" si="2"/>
        <v>0.43421052631578949</v>
      </c>
    </row>
    <row r="73" spans="1:12" s="1" customFormat="1" x14ac:dyDescent="0.3">
      <c r="A73" s="1">
        <v>4341999</v>
      </c>
      <c r="B73" s="1" t="s">
        <v>14</v>
      </c>
      <c r="C73" s="1" t="s">
        <v>13</v>
      </c>
      <c r="E73" s="1">
        <v>5</v>
      </c>
      <c r="F73" s="1">
        <v>7</v>
      </c>
      <c r="G73" s="1">
        <v>6</v>
      </c>
      <c r="H73" s="1">
        <v>58</v>
      </c>
      <c r="I73" s="1">
        <v>20</v>
      </c>
      <c r="J73" s="1">
        <f t="shared" si="2"/>
        <v>0.34482758620689657</v>
      </c>
    </row>
    <row r="74" spans="1:12" s="1" customFormat="1" x14ac:dyDescent="0.3">
      <c r="A74" s="1">
        <v>4341999</v>
      </c>
      <c r="B74" s="1" t="s">
        <v>14</v>
      </c>
      <c r="C74" s="1" t="s">
        <v>13</v>
      </c>
      <c r="E74" s="1">
        <v>7</v>
      </c>
      <c r="F74" s="1">
        <v>9</v>
      </c>
      <c r="G74" s="1">
        <v>8</v>
      </c>
      <c r="H74" s="1">
        <v>62</v>
      </c>
      <c r="I74" s="1">
        <v>25</v>
      </c>
      <c r="J74" s="1">
        <f t="shared" si="2"/>
        <v>0.40322580645161288</v>
      </c>
    </row>
    <row r="75" spans="1:12" s="1" customFormat="1" x14ac:dyDescent="0.3">
      <c r="A75" s="1">
        <v>4341999</v>
      </c>
      <c r="B75" s="1" t="s">
        <v>14</v>
      </c>
      <c r="C75" s="1" t="s">
        <v>13</v>
      </c>
      <c r="E75" s="1">
        <v>9</v>
      </c>
      <c r="F75" s="1">
        <v>11</v>
      </c>
      <c r="G75" s="1">
        <v>10</v>
      </c>
      <c r="H75" s="1">
        <v>71</v>
      </c>
      <c r="I75" s="1">
        <v>31</v>
      </c>
      <c r="J75" s="1">
        <f t="shared" si="2"/>
        <v>0.43661971830985913</v>
      </c>
    </row>
    <row r="76" spans="1:12" s="1" customFormat="1" x14ac:dyDescent="0.3">
      <c r="A76" s="1">
        <v>4341999</v>
      </c>
      <c r="B76" s="1" t="s">
        <v>14</v>
      </c>
      <c r="C76" s="1" t="s">
        <v>13</v>
      </c>
      <c r="E76" s="1">
        <v>11</v>
      </c>
      <c r="F76" s="1">
        <v>20</v>
      </c>
      <c r="G76" s="1">
        <v>15.5</v>
      </c>
      <c r="H76" s="1">
        <v>81</v>
      </c>
      <c r="I76" s="1">
        <v>36</v>
      </c>
      <c r="J76" s="1">
        <f t="shared" si="2"/>
        <v>0.44444444444444442</v>
      </c>
    </row>
    <row r="77" spans="1:12" s="1" customFormat="1" x14ac:dyDescent="0.3">
      <c r="A77" s="1">
        <v>4341999</v>
      </c>
      <c r="B77" s="1" t="s">
        <v>14</v>
      </c>
      <c r="C77" s="1" t="s">
        <v>13</v>
      </c>
      <c r="E77" s="1">
        <v>20</v>
      </c>
      <c r="F77" s="1">
        <v>40</v>
      </c>
      <c r="G77" s="1">
        <v>30</v>
      </c>
      <c r="H77" s="1">
        <v>61</v>
      </c>
      <c r="I77" s="1">
        <v>21</v>
      </c>
      <c r="J77" s="1">
        <f t="shared" si="2"/>
        <v>0.34426229508196721</v>
      </c>
    </row>
    <row r="78" spans="1:12" s="1" customFormat="1" x14ac:dyDescent="0.3">
      <c r="A78" s="1">
        <v>4341999</v>
      </c>
      <c r="B78" s="1" t="s">
        <v>14</v>
      </c>
      <c r="C78" s="1" t="s">
        <v>13</v>
      </c>
      <c r="E78" s="1">
        <v>40</v>
      </c>
      <c r="F78" s="1">
        <v>60</v>
      </c>
      <c r="G78" s="1">
        <v>50</v>
      </c>
      <c r="H78" s="1">
        <v>58</v>
      </c>
      <c r="I78" s="1">
        <v>21</v>
      </c>
      <c r="J78" s="1">
        <f t="shared" si="2"/>
        <v>0.36206896551724138</v>
      </c>
    </row>
    <row r="79" spans="1:12" s="1" customFormat="1" x14ac:dyDescent="0.3">
      <c r="A79" s="1">
        <v>13936211</v>
      </c>
      <c r="B79" s="1" t="s">
        <v>14</v>
      </c>
      <c r="C79" s="1" t="s">
        <v>13</v>
      </c>
      <c r="E79" s="1">
        <v>0</v>
      </c>
      <c r="F79" s="1">
        <v>0.16666666666666699</v>
      </c>
      <c r="G79" s="1">
        <v>8.3333333333333301E-2</v>
      </c>
      <c r="H79" s="1">
        <v>6</v>
      </c>
      <c r="I79" s="1">
        <v>5</v>
      </c>
      <c r="J79" s="1">
        <f t="shared" si="2"/>
        <v>0.83333333333333337</v>
      </c>
    </row>
    <row r="80" spans="1:12" s="1" customFormat="1" x14ac:dyDescent="0.3">
      <c r="A80" s="1">
        <v>13936211</v>
      </c>
      <c r="B80" s="1" t="s">
        <v>14</v>
      </c>
      <c r="C80" s="1" t="s">
        <v>13</v>
      </c>
      <c r="E80" s="1">
        <v>0.25</v>
      </c>
      <c r="F80" s="1">
        <v>0.5</v>
      </c>
      <c r="G80" s="1">
        <v>0.375</v>
      </c>
      <c r="H80" s="1">
        <v>15</v>
      </c>
      <c r="I80" s="1">
        <v>5</v>
      </c>
      <c r="J80" s="1">
        <f t="shared" si="2"/>
        <v>0.33333333333333331</v>
      </c>
    </row>
    <row r="81" spans="1:10" s="1" customFormat="1" x14ac:dyDescent="0.3">
      <c r="A81" s="1">
        <v>13936211</v>
      </c>
      <c r="B81" s="1" t="s">
        <v>14</v>
      </c>
      <c r="C81" s="1" t="s">
        <v>13</v>
      </c>
      <c r="E81" s="1">
        <v>0.58333333333333304</v>
      </c>
      <c r="F81" s="1">
        <v>1</v>
      </c>
      <c r="G81" s="1">
        <v>0.79166666666666696</v>
      </c>
      <c r="H81" s="1">
        <v>16</v>
      </c>
      <c r="I81" s="1">
        <v>6</v>
      </c>
      <c r="J81" s="1">
        <f t="shared" si="2"/>
        <v>0.375</v>
      </c>
    </row>
    <row r="82" spans="1:10" s="1" customFormat="1" x14ac:dyDescent="0.3">
      <c r="A82" s="1">
        <v>13936211</v>
      </c>
      <c r="B82" s="1" t="s">
        <v>14</v>
      </c>
      <c r="C82" s="1" t="s">
        <v>13</v>
      </c>
      <c r="E82" s="1">
        <v>1</v>
      </c>
      <c r="F82" s="1">
        <v>2</v>
      </c>
      <c r="G82" s="1">
        <v>1.5</v>
      </c>
      <c r="H82" s="1">
        <v>19</v>
      </c>
      <c r="I82" s="1">
        <v>8</v>
      </c>
      <c r="J82" s="1">
        <f t="shared" si="2"/>
        <v>0.42105263157894735</v>
      </c>
    </row>
    <row r="83" spans="1:10" s="1" customFormat="1" x14ac:dyDescent="0.3">
      <c r="A83" s="1">
        <v>13936211</v>
      </c>
      <c r="B83" s="1" t="s">
        <v>14</v>
      </c>
      <c r="C83" s="1" t="s">
        <v>13</v>
      </c>
      <c r="E83" s="1">
        <v>3</v>
      </c>
      <c r="F83" s="1">
        <v>5</v>
      </c>
      <c r="G83" s="1">
        <v>4</v>
      </c>
      <c r="H83" s="1">
        <v>14</v>
      </c>
      <c r="I83" s="1">
        <v>13</v>
      </c>
      <c r="J83" s="1">
        <f t="shared" si="2"/>
        <v>0.9285714285714286</v>
      </c>
    </row>
    <row r="84" spans="1:10" s="1" customFormat="1" x14ac:dyDescent="0.3">
      <c r="A84" s="1">
        <v>13936211</v>
      </c>
      <c r="B84" s="1" t="s">
        <v>14</v>
      </c>
      <c r="C84" s="1" t="s">
        <v>13</v>
      </c>
      <c r="E84" s="1">
        <v>6</v>
      </c>
      <c r="F84" s="1">
        <v>15</v>
      </c>
      <c r="G84" s="1">
        <v>10.5</v>
      </c>
      <c r="H84" s="1">
        <v>9</v>
      </c>
      <c r="I84" s="1">
        <v>8</v>
      </c>
      <c r="J84" s="1">
        <f t="shared" si="2"/>
        <v>0.88888888888888884</v>
      </c>
    </row>
    <row r="85" spans="1:10" s="1" customFormat="1" x14ac:dyDescent="0.3">
      <c r="A85" s="1">
        <v>13936211</v>
      </c>
      <c r="B85" s="1" t="s">
        <v>14</v>
      </c>
      <c r="C85" s="1" t="s">
        <v>13</v>
      </c>
      <c r="E85" s="1">
        <v>16</v>
      </c>
      <c r="F85" s="1">
        <v>18</v>
      </c>
      <c r="G85" s="1">
        <v>17</v>
      </c>
      <c r="H85" s="1">
        <v>70</v>
      </c>
      <c r="I85" s="1">
        <v>58</v>
      </c>
      <c r="J85" s="1">
        <f t="shared" si="2"/>
        <v>0.82857142857142863</v>
      </c>
    </row>
    <row r="86" spans="1:10" s="1" customFormat="1" x14ac:dyDescent="0.3">
      <c r="A86" s="1">
        <v>165720</v>
      </c>
      <c r="B86" s="1" t="s">
        <v>14</v>
      </c>
      <c r="C86" s="1" t="s">
        <v>13</v>
      </c>
      <c r="E86" s="1">
        <v>0</v>
      </c>
      <c r="F86" s="1">
        <v>1</v>
      </c>
      <c r="G86" s="1">
        <v>0.5</v>
      </c>
      <c r="H86" s="1">
        <v>21</v>
      </c>
      <c r="I86" s="1">
        <v>1</v>
      </c>
      <c r="J86" s="1">
        <f t="shared" si="2"/>
        <v>4.7619047619047616E-2</v>
      </c>
    </row>
    <row r="87" spans="1:10" s="1" customFormat="1" x14ac:dyDescent="0.3">
      <c r="A87" s="1">
        <v>165720</v>
      </c>
      <c r="B87" s="1" t="s">
        <v>14</v>
      </c>
      <c r="C87" s="1" t="s">
        <v>13</v>
      </c>
      <c r="E87" s="1">
        <v>1</v>
      </c>
      <c r="F87" s="1">
        <v>1</v>
      </c>
      <c r="G87" s="1">
        <v>1</v>
      </c>
      <c r="H87" s="1">
        <v>33</v>
      </c>
      <c r="I87" s="1">
        <v>3</v>
      </c>
      <c r="J87" s="1">
        <f t="shared" si="2"/>
        <v>9.0909090909090912E-2</v>
      </c>
    </row>
    <row r="88" spans="1:10" s="1" customFormat="1" x14ac:dyDescent="0.3">
      <c r="A88" s="1">
        <v>165720</v>
      </c>
      <c r="B88" s="1" t="s">
        <v>14</v>
      </c>
      <c r="C88" s="1" t="s">
        <v>13</v>
      </c>
      <c r="E88" s="1">
        <v>2</v>
      </c>
      <c r="F88" s="1">
        <v>2</v>
      </c>
      <c r="G88" s="1">
        <v>2</v>
      </c>
      <c r="H88" s="1">
        <v>33</v>
      </c>
      <c r="I88" s="1">
        <v>5</v>
      </c>
      <c r="J88" s="1">
        <f t="shared" si="2"/>
        <v>0.15151515151515152</v>
      </c>
    </row>
    <row r="89" spans="1:10" s="1" customFormat="1" x14ac:dyDescent="0.3">
      <c r="A89" s="1">
        <v>165720</v>
      </c>
      <c r="B89" s="1" t="s">
        <v>14</v>
      </c>
      <c r="C89" s="1" t="s">
        <v>13</v>
      </c>
      <c r="E89" s="1">
        <v>3</v>
      </c>
      <c r="F89" s="1">
        <v>3</v>
      </c>
      <c r="G89" s="1">
        <v>3</v>
      </c>
      <c r="H89" s="1">
        <v>44</v>
      </c>
      <c r="I89" s="1">
        <v>5</v>
      </c>
      <c r="J89" s="1">
        <f t="shared" si="2"/>
        <v>0.11363636363636363</v>
      </c>
    </row>
    <row r="90" spans="1:10" s="1" customFormat="1" x14ac:dyDescent="0.3">
      <c r="A90" s="1">
        <v>165720</v>
      </c>
      <c r="B90" s="1" t="s">
        <v>14</v>
      </c>
      <c r="C90" s="1" t="s">
        <v>13</v>
      </c>
      <c r="E90" s="1">
        <v>4</v>
      </c>
      <c r="F90" s="1">
        <v>4</v>
      </c>
      <c r="G90" s="1">
        <v>4</v>
      </c>
      <c r="H90" s="1">
        <v>45</v>
      </c>
      <c r="I90" s="1">
        <v>4</v>
      </c>
      <c r="J90" s="1">
        <f t="shared" si="2"/>
        <v>8.8888888888888892E-2</v>
      </c>
    </row>
    <row r="91" spans="1:10" s="1" customFormat="1" x14ac:dyDescent="0.3">
      <c r="A91" s="1">
        <v>165720</v>
      </c>
      <c r="B91" s="1" t="s">
        <v>14</v>
      </c>
      <c r="C91" s="1" t="s">
        <v>13</v>
      </c>
      <c r="E91" s="1">
        <v>5</v>
      </c>
      <c r="F91" s="1">
        <v>9</v>
      </c>
      <c r="G91" s="1">
        <v>7</v>
      </c>
      <c r="H91" s="1">
        <v>256</v>
      </c>
      <c r="I91" s="1">
        <v>72</v>
      </c>
      <c r="J91" s="1">
        <f t="shared" si="2"/>
        <v>0.28125</v>
      </c>
    </row>
    <row r="92" spans="1:10" s="1" customFormat="1" x14ac:dyDescent="0.3">
      <c r="A92" s="1">
        <v>165720</v>
      </c>
      <c r="B92" s="1" t="s">
        <v>14</v>
      </c>
      <c r="C92" s="1" t="s">
        <v>13</v>
      </c>
      <c r="E92" s="1">
        <v>10</v>
      </c>
      <c r="F92" s="1">
        <v>14</v>
      </c>
      <c r="G92" s="1">
        <v>12</v>
      </c>
      <c r="H92" s="1">
        <v>172</v>
      </c>
      <c r="I92" s="1">
        <v>41</v>
      </c>
      <c r="J92" s="1">
        <f t="shared" si="2"/>
        <v>0.23837209302325582</v>
      </c>
    </row>
    <row r="93" spans="1:10" s="1" customFormat="1" x14ac:dyDescent="0.3">
      <c r="A93" s="1">
        <v>165720</v>
      </c>
      <c r="B93" s="1" t="s">
        <v>14</v>
      </c>
      <c r="C93" s="1" t="s">
        <v>13</v>
      </c>
      <c r="E93" s="1">
        <v>15</v>
      </c>
      <c r="F93" s="1">
        <v>18</v>
      </c>
      <c r="G93" s="1">
        <v>16.5</v>
      </c>
      <c r="H93" s="1">
        <v>38</v>
      </c>
      <c r="I93" s="1">
        <v>17</v>
      </c>
      <c r="J93" s="1">
        <f t="shared" si="2"/>
        <v>0.44736842105263158</v>
      </c>
    </row>
    <row r="94" spans="1:10" s="1" customFormat="1" x14ac:dyDescent="0.3">
      <c r="A94" s="1">
        <v>4468943</v>
      </c>
      <c r="B94" s="1" t="s">
        <v>14</v>
      </c>
      <c r="C94" s="1" t="s">
        <v>13</v>
      </c>
      <c r="E94" s="1">
        <v>0</v>
      </c>
      <c r="F94" s="1">
        <v>5</v>
      </c>
      <c r="G94" s="1">
        <v>2.5</v>
      </c>
      <c r="H94" s="1">
        <v>30</v>
      </c>
      <c r="I94" s="1">
        <v>3</v>
      </c>
      <c r="J94" s="1">
        <f t="shared" si="2"/>
        <v>0.1</v>
      </c>
    </row>
    <row r="95" spans="1:10" s="1" customFormat="1" x14ac:dyDescent="0.3">
      <c r="A95" s="1">
        <v>4468943</v>
      </c>
      <c r="B95" s="1" t="s">
        <v>14</v>
      </c>
      <c r="C95" s="1" t="s">
        <v>13</v>
      </c>
      <c r="E95" s="1">
        <v>6</v>
      </c>
      <c r="F95" s="1">
        <v>10</v>
      </c>
      <c r="G95" s="1">
        <v>8</v>
      </c>
      <c r="H95" s="1">
        <v>28</v>
      </c>
      <c r="I95" s="1">
        <v>2</v>
      </c>
      <c r="J95" s="1">
        <f t="shared" si="2"/>
        <v>7.1428571428571425E-2</v>
      </c>
    </row>
    <row r="96" spans="1:10" s="1" customFormat="1" x14ac:dyDescent="0.3">
      <c r="A96" s="1">
        <v>4468943</v>
      </c>
      <c r="B96" s="1" t="s">
        <v>14</v>
      </c>
      <c r="C96" s="1" t="s">
        <v>13</v>
      </c>
      <c r="E96" s="1">
        <v>11</v>
      </c>
      <c r="F96" s="1">
        <v>15</v>
      </c>
      <c r="G96" s="1">
        <v>13</v>
      </c>
      <c r="H96" s="1">
        <v>30</v>
      </c>
      <c r="I96" s="1">
        <v>5</v>
      </c>
      <c r="J96" s="1">
        <f t="shared" si="2"/>
        <v>0.16666666666666666</v>
      </c>
    </row>
    <row r="97" spans="1:10" s="1" customFormat="1" x14ac:dyDescent="0.3">
      <c r="A97" s="1">
        <v>4468943</v>
      </c>
      <c r="B97" s="1" t="s">
        <v>14</v>
      </c>
      <c r="C97" s="1" t="s">
        <v>13</v>
      </c>
      <c r="E97" s="1">
        <v>16</v>
      </c>
      <c r="F97" s="1">
        <v>20</v>
      </c>
      <c r="G97" s="1">
        <v>18</v>
      </c>
      <c r="H97" s="1">
        <v>29</v>
      </c>
      <c r="I97" s="1">
        <v>10</v>
      </c>
      <c r="J97" s="1">
        <f t="shared" si="2"/>
        <v>0.34482758620689657</v>
      </c>
    </row>
    <row r="98" spans="1:10" s="1" customFormat="1" x14ac:dyDescent="0.3">
      <c r="A98" s="1">
        <v>4468943</v>
      </c>
      <c r="B98" s="1" t="s">
        <v>14</v>
      </c>
      <c r="C98" s="1" t="s">
        <v>13</v>
      </c>
      <c r="E98" s="1">
        <v>21</v>
      </c>
      <c r="F98" s="1">
        <v>25</v>
      </c>
      <c r="G98" s="1">
        <v>13</v>
      </c>
      <c r="H98" s="1">
        <v>36</v>
      </c>
      <c r="I98" s="1">
        <v>8</v>
      </c>
      <c r="J98" s="1">
        <f t="shared" ref="J98:J102" si="3">I98/H98</f>
        <v>0.22222222222222221</v>
      </c>
    </row>
    <row r="99" spans="1:10" s="1" customFormat="1" x14ac:dyDescent="0.3">
      <c r="A99" s="1">
        <v>4468943</v>
      </c>
      <c r="B99" s="1" t="s">
        <v>14</v>
      </c>
      <c r="C99" s="1" t="s">
        <v>13</v>
      </c>
      <c r="E99" s="1">
        <v>26</v>
      </c>
      <c r="F99" s="1">
        <v>30</v>
      </c>
      <c r="G99" s="1">
        <v>28</v>
      </c>
      <c r="H99" s="1">
        <v>31</v>
      </c>
      <c r="I99" s="1">
        <v>2</v>
      </c>
      <c r="J99" s="1">
        <f t="shared" si="3"/>
        <v>6.4516129032258063E-2</v>
      </c>
    </row>
    <row r="100" spans="1:10" s="1" customFormat="1" x14ac:dyDescent="0.3">
      <c r="A100" s="1">
        <v>4468943</v>
      </c>
      <c r="B100" s="1" t="s">
        <v>14</v>
      </c>
      <c r="C100" s="1" t="s">
        <v>13</v>
      </c>
      <c r="E100" s="1">
        <v>31</v>
      </c>
      <c r="F100" s="1">
        <v>35</v>
      </c>
      <c r="G100" s="1">
        <v>33</v>
      </c>
      <c r="H100" s="1">
        <v>32</v>
      </c>
      <c r="I100" s="1">
        <v>5</v>
      </c>
      <c r="J100" s="1">
        <f t="shared" si="3"/>
        <v>0.15625</v>
      </c>
    </row>
    <row r="101" spans="1:10" s="1" customFormat="1" x14ac:dyDescent="0.3">
      <c r="A101" s="1">
        <v>4468943</v>
      </c>
      <c r="B101" s="1" t="s">
        <v>14</v>
      </c>
      <c r="C101" s="1" t="s">
        <v>13</v>
      </c>
      <c r="E101" s="1">
        <v>36</v>
      </c>
      <c r="F101" s="1">
        <v>40</v>
      </c>
      <c r="G101" s="1">
        <v>38</v>
      </c>
      <c r="H101" s="1">
        <v>36</v>
      </c>
      <c r="I101" s="1">
        <v>3</v>
      </c>
      <c r="J101" s="1">
        <f t="shared" si="3"/>
        <v>8.3333333333333329E-2</v>
      </c>
    </row>
    <row r="102" spans="1:10" s="1" customFormat="1" x14ac:dyDescent="0.3">
      <c r="A102" s="1">
        <v>4468943</v>
      </c>
      <c r="B102" s="1" t="s">
        <v>14</v>
      </c>
      <c r="C102" s="1" t="s">
        <v>13</v>
      </c>
      <c r="E102" s="1">
        <v>41</v>
      </c>
      <c r="F102" s="1">
        <v>60</v>
      </c>
      <c r="G102" s="1">
        <v>50.5</v>
      </c>
      <c r="H102" s="1">
        <v>64</v>
      </c>
      <c r="I102" s="1">
        <v>4</v>
      </c>
      <c r="J102" s="1">
        <f t="shared" si="3"/>
        <v>6.25E-2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Data_seroprevalence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Nakajo, Ko [JANJP]</dc:creator>
  <cp:lastModifiedBy>kathyleung</cp:lastModifiedBy>
  <dcterms:created xsi:type="dcterms:W3CDTF">2025-02-25T13:37:45Z</dcterms:created>
  <dcterms:modified xsi:type="dcterms:W3CDTF">2026-04-14T07:35:04Z</dcterms:modified>
</cp:coreProperties>
</file>